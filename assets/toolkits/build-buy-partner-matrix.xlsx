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Scoring" sheetId="2" state="visible" r:id="rId4"/>
    <sheet name="Cost" sheetId="3" state="visible" r:id="rId5"/>
    <sheet name="Decision" sheetId="4" state="visible" r:id="rId6"/>
    <sheet name="Example"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<sst xmlns="http://schemas.openxmlformats.org/spreadsheetml/2006/main" count="186" uniqueCount="119">
  <si>
    <t xml:space="preserve">Build, Buy, or Partner Decision Matrix</t>
  </si>
  <si>
    <t xml:space="preserve">Product Advisory | Building Market Driven Products | productadvisory.co</t>
  </si>
  <si>
    <t xml:space="preserve">What this is</t>
  </si>
  <si>
    <t xml:space="preserve">A structured way to decide how to deliver a capability: build it yourself, buy it, or partner for it. Score the options, compare the real three year cost, and record the decision.</t>
  </si>
  <si>
    <t xml:space="preserve">Step 1</t>
  </si>
  <si>
    <t xml:space="preserve">Frame the decision on the Decision tab: the decision, goal, must haves, and each option.</t>
  </si>
  <si>
    <t xml:space="preserve">Step 2</t>
  </si>
  <si>
    <t xml:space="preserve">Score each option from 1 to 5 on the Scoring tab. 5 is best for your business. For cost, risk, and effort criteria, 5 means lowest cost, lowest risk, or lowest effort. Weights are pre filled and must total 100. Change them to match your priorities.</t>
  </si>
  <si>
    <t xml:space="preserve">Step 3</t>
  </si>
  <si>
    <t xml:space="preserve">Enter your best estimate of three year costs and months to first value on the Cost tab.</t>
  </si>
  <si>
    <t xml:space="preserve">Step 4</t>
  </si>
  <si>
    <t xml:space="preserve">Review the results snapshot and record your decision, risks, and tripwires on the Decision tab.</t>
  </si>
  <si>
    <t xml:space="preserve">Step 5</t>
  </si>
  <si>
    <t xml:space="preserve">Open the Example tab to see a worked sample.</t>
  </si>
  <si>
    <t xml:space="preserve">Colors</t>
  </si>
  <si>
    <t xml:space="preserve">Light cyan cells with blue text are yours to fill in. Light blue cells calculate for you. Do not type over them.</t>
  </si>
  <si>
    <t xml:space="preserve">Tie rule</t>
  </si>
  <si>
    <t xml:space="preserve">Options within 0.25 points of the top weighted score are shown as too close to call. Let cost, risk, and tripwires break the tie.</t>
  </si>
  <si>
    <t xml:space="preserve">Make your own copy</t>
  </si>
  <si>
    <t xml:space="preserve">In Google Sheets choose File, then Make a copy. Your copy is private to you.</t>
  </si>
  <si>
    <t xml:space="preserve">Need help?</t>
  </si>
  <si>
    <t xml:space="preserve">Book a free 30 minute call: productadvisory.co/book | info@productadvisory.co | (727) 386-6815</t>
  </si>
  <si>
    <t xml:space="preserve">Terms</t>
  </si>
  <si>
    <t xml:space="preserve">Free to use and share for personal and internal business purposes. Please keep the Product Advisory branding. Not for resale. This tool supports decision making and is not legal, financial, or tax advice. Version 1.0, October 2026.</t>
  </si>
  <si>
    <t xml:space="preserve">Step 2. Score the options</t>
  </si>
  <si>
    <t xml:space="preserve">Score 1 to 5. 5 is best for your business. For cost, risk, and effort criteria 5 means lowest.</t>
  </si>
  <si>
    <t xml:space="preserve">Score 1 to 5</t>
  </si>
  <si>
    <t xml:space="preserve">Weighted score</t>
  </si>
  <si>
    <t xml:space="preserve">Criterion</t>
  </si>
  <si>
    <t xml:space="preserve">What to consider</t>
  </si>
  <si>
    <t xml:space="preserve">Weight</t>
  </si>
  <si>
    <t xml:space="preserve">Build</t>
  </si>
  <si>
    <t xml:space="preserve">Buy</t>
  </si>
  <si>
    <t xml:space="preserve">Partner</t>
  </si>
  <si>
    <t xml:space="preserve">Strategic differentiation</t>
  </si>
  <si>
    <t xml:space="preserve">Does this capability set you apart from competitors?</t>
  </si>
  <si>
    <t xml:space="preserve">Time to market</t>
  </si>
  <si>
    <t xml:space="preserve">How quickly can customers get value?</t>
  </si>
  <si>
    <t xml:space="preserve">Total cost of ownership</t>
  </si>
  <si>
    <t xml:space="preserve">Three year cost. 5 = lowest cost.</t>
  </si>
  <si>
    <t xml:space="preserve">Fit to requirements</t>
  </si>
  <si>
    <t xml:space="preserve">How well does it meet your must haves?</t>
  </si>
  <si>
    <t xml:space="preserve">Control and roadmap flexibility</t>
  </si>
  <si>
    <t xml:space="preserve">Can you shape the features and the timing?</t>
  </si>
  <si>
    <t xml:space="preserve">Delivery and vendor risk</t>
  </si>
  <si>
    <t xml:space="preserve">Execution, vendor, security, regulatory. 5 = lowest risk.</t>
  </si>
  <si>
    <t xml:space="preserve">Team capacity and skills</t>
  </si>
  <si>
    <t xml:space="preserve">Do you have the people and skills right now?</t>
  </si>
  <si>
    <t xml:space="preserve">Integration and data effort</t>
  </si>
  <si>
    <t xml:space="preserve">Effort to connect to your stack. 5 = lowest effort.</t>
  </si>
  <si>
    <t xml:space="preserve">Scalability and long term viability</t>
  </si>
  <si>
    <t xml:space="preserve">Will it hold up as you grow?</t>
  </si>
  <si>
    <t xml:space="preserve">Exit flexibility</t>
  </si>
  <si>
    <t xml:space="preserve">How easily could you switch later? 5 = easiest.</t>
  </si>
  <si>
    <t xml:space="preserve">Optional: add your own criterion and give it a weight</t>
  </si>
  <si>
    <t xml:space="preserve">Total weight (must equal 100)</t>
  </si>
  <si>
    <t xml:space="preserve">Weighted total (out of 5.00)</t>
  </si>
  <si>
    <t xml:space="preserve">Percent of the best possible score</t>
  </si>
  <si>
    <t xml:space="preserve">Leading option by score</t>
  </si>
  <si>
    <t xml:space="preserve">Step 3. Compare the three year cost</t>
  </si>
  <si>
    <t xml:space="preserve">Enter your best estimate in dollars. Years two and three often decide the outcome.</t>
  </si>
  <si>
    <t xml:space="preserve">Cost item</t>
  </si>
  <si>
    <t xml:space="preserve">Notes</t>
  </si>
  <si>
    <t xml:space="preserve">Upfront cost</t>
  </si>
  <si>
    <t xml:space="preserve">Build effort, licenses, implementation, setup fees</t>
  </si>
  <si>
    <t xml:space="preserve">Year 1 ongoing cost</t>
  </si>
  <si>
    <t xml:space="preserve">Maintenance, support, subscription, hosting, staffing</t>
  </si>
  <si>
    <t xml:space="preserve">Year 2 ongoing cost</t>
  </si>
  <si>
    <t xml:space="preserve">Same categories as year 1</t>
  </si>
  <si>
    <t xml:space="preserve">Year 3 ongoing cost</t>
  </si>
  <si>
    <t xml:space="preserve">Integration and migration</t>
  </si>
  <si>
    <t xml:space="preserve">Connecting systems and moving data</t>
  </si>
  <si>
    <t xml:space="preserve">Training and change management</t>
  </si>
  <si>
    <t xml:space="preserve">Getting teams and customers ready</t>
  </si>
  <si>
    <t xml:space="preserve">Total three year cost</t>
  </si>
  <si>
    <t xml:space="preserve">Difference from the lowest option</t>
  </si>
  <si>
    <t xml:space="preserve">Months to first customer value</t>
  </si>
  <si>
    <t xml:space="preserve">Cost assumptions, hidden costs, and notes</t>
  </si>
  <si>
    <t xml:space="preserve">Steps 1 and 4. Frame and record the decision</t>
  </si>
  <si>
    <t xml:space="preserve">Frame the decision first, then come back after scoring and costing to record the outcome.</t>
  </si>
  <si>
    <t xml:space="preserve">STEP 1. FRAME THE DECISION</t>
  </si>
  <si>
    <t xml:space="preserve">Decision or capability being sourced</t>
  </si>
  <si>
    <t xml:space="preserve">Business goal it supports</t>
  </si>
  <si>
    <t xml:space="preserve">Decision owner</t>
  </si>
  <si>
    <t xml:space="preserve">Date</t>
  </si>
  <si>
    <t xml:space="preserve">Team and reviewers</t>
  </si>
  <si>
    <t xml:space="preserve">Must have requirements</t>
  </si>
  <si>
    <t xml:space="preserve">Constraints (deadline, budget ceiling, regulatory, skills)</t>
  </si>
  <si>
    <t xml:space="preserve">Build: what exactly would you build?</t>
  </si>
  <si>
    <t xml:space="preserve">Buy: which products would you buy?</t>
  </si>
  <si>
    <t xml:space="preserve">Partner: who would you partner with, and how?</t>
  </si>
  <si>
    <t xml:space="preserve">A starting hypothesis, not an answer: capabilities that set you apart lean toward Build. Commodity capabilities lean toward Buy. Specialized or time critical capabilities, where a strong outside expert exists, lean toward Partner.</t>
  </si>
  <si>
    <t xml:space="preserve">STEP 4. RESULTS SNAPSHOT</t>
  </si>
  <si>
    <t xml:space="preserve">Measure</t>
  </si>
  <si>
    <t xml:space="preserve">Weighted score (of 5.00)</t>
  </si>
  <si>
    <t xml:space="preserve">Three year cost</t>
  </si>
  <si>
    <t xml:space="preserve">Months to first value</t>
  </si>
  <si>
    <t xml:space="preserve">Leading by score</t>
  </si>
  <si>
    <t xml:space="preserve">Lowest three year cost</t>
  </si>
  <si>
    <t xml:space="preserve">Check these before you commit</t>
  </si>
  <si>
    <t xml:space="preserve">• Scores within 0.25 points are a tie. Lean on cost, risk, and your tripwires.</t>
  </si>
  <si>
    <t xml:space="preserve">• Move your two heaviest weights up and down by 5 points. If the leader changes, the decision is sensitive.</t>
  </si>
  <si>
    <t xml:space="preserve">• A Build lead driven by control, with a weak team capacity score, is a warning sign.</t>
  </si>
  <si>
    <t xml:space="preserve">• For Buy or Partner with a weak exit score, negotiate data portability and termination terms before you sign.</t>
  </si>
  <si>
    <t xml:space="preserve">OUR DECISION</t>
  </si>
  <si>
    <t xml:space="preserve">Decision</t>
  </si>
  <si>
    <t xml:space="preserve">Why this option</t>
  </si>
  <si>
    <t xml:space="preserve">Risk 1 and how we will handle it</t>
  </si>
  <si>
    <t xml:space="preserve">Risk 2 and how we will handle it</t>
  </si>
  <si>
    <t xml:space="preserve">Risk 3 and how we will handle it</t>
  </si>
  <si>
    <t xml:space="preserve">We will revisit this decision if</t>
  </si>
  <si>
    <t xml:space="preserve">Next steps (action, owner, due date)</t>
  </si>
  <si>
    <t xml:space="preserve">Approved by</t>
  </si>
  <si>
    <t xml:space="preserve">Approval date</t>
  </si>
  <si>
    <t xml:space="preserve">Worked example (sample numbers)</t>
  </si>
  <si>
    <t xml:space="preserve">Decision: Customer analytics dashboard inside a B2B software product. All figures are illustrative.</t>
  </si>
  <si>
    <t xml:space="preserve">Cost and speed</t>
  </si>
  <si>
    <t xml:space="preserve">What this shows</t>
  </si>
  <si>
    <t xml:space="preserve">The scores alone do not separate the options, which is common. That is the signal to move to cost, risks, and tripwires. Decision in this example: Partner. It has the lowest three year cost, the second fastest path to value, and the top score by a hair. Tripwires: revisit if the partner raises prices more than 15 percent, misses the five month milestone, or usage doubles the forecast.</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</si>
</sst>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0;&quot;($&quot;#,##0\);\-"/>
    <numFmt numFmtId="169" formatCode="\$#,##0"/>
    <numFmt numFmtId="170" formatCode="&quot;+$&quot;#,##0;&quot;-$&quot;#,##0"/>
  </numFmts>
  <fonts count="15">
    <font>
      <sz val="11"/>
      <color theme="1"/>
      <name val="Calibri"/>
      <family val="2"/>
      <charset val="1"/>
    </font>
    <font>
      <sz val="10"/>
      <name val="Arial"/>
      <family val="0"/>
    </font>
    <font>
      <sz val="10"/>
      <name val="Arial"/>
      <family val="0"/>
    </font>
    <font>
      <sz val="10"/>
      <name val="Arial"/>
      <family val="0"/>
    </font>
    <font>
      <b val="true"/>
      <sz val="16"/>
      <color rgb="FF1A4584"/>
      <name val="Arial"/>
      <family val="0"/>
      <charset val="1"/>
    </font>
    <font>
      <sz val="10"/>
      <color rgb="FF3E5573"/>
      <name val="Arial"/>
      <family val="0"/>
      <charset val="1"/>
    </font>
    <font>
      <b val="true"/>
      <sz val="10"/>
      <color rgb="FF1A4584"/>
      <name val="Arial"/>
      <family val="0"/>
      <charset val="1"/>
    </font>
    <font>
      <b val="true"/>
      <sz val="10"/>
      <color rgb="FFFFFFFF"/>
      <name val="Arial"/>
      <family val="0"/>
      <charset val="1"/>
    </font>
    <font>
      <sz val="9"/>
      <color rgb="FF3E5573"/>
      <name val="Arial"/>
      <family val="0"/>
      <charset val="1"/>
    </font>
    <font>
      <sz val="10"/>
      <color rgb="FF0000FF"/>
      <name val="Arial"/>
      <family val="0"/>
      <charset val="1"/>
    </font>
    <font>
      <sz val="10"/>
      <color rgb="FF1A4584"/>
      <name val="Arial"/>
      <family val="0"/>
      <charset val="1"/>
    </font>
    <font>
      <i val="true"/>
      <sz val="9"/>
      <color rgb="FF3E5573"/>
      <name val="Arial"/>
      <family val="0"/>
      <charset val="1"/>
    </font>
    <font>
      <b val="true"/>
      <sz val="11"/>
      <color rgb="FFFFFFFF"/>
      <name val="Arial"/>
      <family val="0"/>
      <charset val="1"/>
    </font>
    <font>
      <b val="true"/>
      <sz val="10"/>
      <color rgb="FF35C2E8"/>
      <name val="Arial"/>
      <family val="0"/>
      <charset val="1"/>
    </font>
    <font>
      <b val="true"/>
      <sz val="12"/>
      <color rgb="FF1A4584"/>
      <name val="Arial"/>
      <family val="0"/>
      <charset val="1"/>
    </font>
  </fonts>
  <fills count="5">
    <fill>
      <patternFill patternType="none"/>
    </fill>
    <fill>
      <patternFill patternType="gray125"/>
    </fill>
    <fill>
      <patternFill patternType="solid">
        <fgColor rgb="FF1A4584"/>
        <bgColor rgb="FF003366"/>
      </patternFill>
    </fill>
    <fill>
      <patternFill patternType="solid">
        <fgColor rgb="FFEAF7FC"/>
        <bgColor rgb="FFFFFFFF"/>
      </patternFill>
    </fill>
    <fill>
      <patternFill patternType="solid">
        <fgColor rgb="FFDCE7F7"/>
        <bgColor rgb="FFD7DEE8"/>
      </patternFill>
    </fill>
  </fills>
  <borders count="4">
    <border diagonalUp="false" diagonalDown="false">
      <left/>
      <right/>
      <top/>
      <bottom/>
      <diagonal/>
    </border>
    <border diagonalUp="false" diagonalDown="false">
      <left style="thin">
        <color rgb="FFD7DEE8"/>
      </left>
      <right style="thin">
        <color rgb="FFD7DEE8"/>
      </right>
      <top style="thin">
        <color rgb="FFD7DEE8"/>
      </top>
      <bottom style="thin">
        <color rgb="FFD7DEE8"/>
      </bottom>
      <diagonal/>
    </border>
    <border diagonalUp="false" diagonalDown="false">
      <left style="thin">
        <color rgb="FFD7DEE8"/>
      </left>
      <right/>
      <top style="thin">
        <color rgb="FFD7DEE8"/>
      </top>
      <bottom/>
      <diagonal/>
    </border>
    <border diagonalUp="false" diagonalDown="false">
      <left style="thin">
        <color rgb="FFD7DEE8"/>
      </left>
      <right/>
      <top style="thin">
        <color rgb="FFD7DEE8"/>
      </top>
      <bottom style="thin">
        <color rgb="FFD7DE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5" fontId="9" fillId="3"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5" fontId="6" fillId="4"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6" fontId="6" fillId="4" borderId="1" xfId="0" applyFont="true" applyBorder="true" applyAlignment="true" applyProtection="false">
      <alignment horizontal="center" vertical="center" textRotation="0" wrapText="false" indent="0" shrinkToFit="false"/>
      <protection locked="true" hidden="false"/>
    </xf>
    <xf numFmtId="167" fontId="10" fillId="4" borderId="1" xfId="0" applyFont="true" applyBorder="true" applyAlignment="true" applyProtection="false">
      <alignment horizontal="center" vertical="center" textRotation="0" wrapText="false" indent="0" shrinkToFit="false"/>
      <protection locked="true" hidden="false"/>
    </xf>
    <xf numFmtId="164" fontId="12" fillId="2" borderId="0" xfId="0" applyFont="true" applyBorder="true" applyAlignment="true" applyProtection="false">
      <alignment horizontal="left" vertical="center" textRotation="0" wrapText="false" indent="0" shrinkToFit="false"/>
      <protection locked="true" hidden="false"/>
    </xf>
    <xf numFmtId="168" fontId="9" fillId="3" borderId="1" xfId="0" applyFont="true" applyBorder="true" applyAlignment="true" applyProtection="false">
      <alignment horizontal="general" vertical="center" textRotation="0" wrapText="true" indent="0" shrinkToFit="false"/>
      <protection locked="true" hidden="false"/>
    </xf>
    <xf numFmtId="169" fontId="6" fillId="4" borderId="1" xfId="0" applyFont="true" applyBorder="true" applyAlignment="true" applyProtection="false">
      <alignment horizontal="center" vertical="center" textRotation="0" wrapText="false" indent="0" shrinkToFit="false"/>
      <protection locked="true" hidden="false"/>
    </xf>
    <xf numFmtId="170" fontId="10" fillId="4" borderId="1" xfId="0" applyFont="true" applyBorder="true" applyAlignment="true" applyProtection="false">
      <alignment horizontal="center" vertical="center" textRotation="0" wrapText="fals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9" fillId="3" borderId="3"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true" applyProtection="false">
      <alignment horizontal="center" vertical="center" textRotation="0" wrapText="true" indent="0" shrinkToFit="false"/>
      <protection locked="true" hidden="false"/>
    </xf>
    <xf numFmtId="169" fontId="10" fillId="4" borderId="1" xfId="0" applyFont="true" applyBorder="true" applyAlignment="true" applyProtection="false">
      <alignment horizontal="center" vertical="center" textRotation="0" wrapText="true" indent="0" shrinkToFit="false"/>
      <protection locked="true" hidden="false"/>
    </xf>
    <xf numFmtId="169" fontId="10" fillId="4"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tru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general" vertical="center" textRotation="0" wrapText="true" indent="0" shrinkToFit="false"/>
      <protection locked="true" hidden="false"/>
    </xf>
    <xf numFmtId="164" fontId="9" fillId="3" borderId="3"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9" fontId="9" fillId="3"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A4584"/>
      </font>
      <fill>
        <patternFill>
          <bgColor rgb="FFB8E6F5"/>
        </patternFill>
      </fill>
    </dxf>
    <dxf>
      <font>
        <name val="Arial"/>
        <charset val="1"/>
        <family val="0"/>
        <b val="1"/>
        <color rgb="FFC00000"/>
      </font>
    </dxf>
    <dxf>
      <fill>
        <patternFill>
          <bgColor rgb="FFB8E6F5"/>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7FC"/>
      <rgbColor rgb="FF660066"/>
      <rgbColor rgb="FFFF8080"/>
      <rgbColor rgb="FF0066CC"/>
      <rgbColor rgb="FFD7DEE8"/>
      <rgbColor rgb="FF000080"/>
      <rgbColor rgb="FFFF00FF"/>
      <rgbColor rgb="FFFFFF00"/>
      <rgbColor rgb="FF00FFFF"/>
      <rgbColor rgb="FF800080"/>
      <rgbColor rgb="FF800000"/>
      <rgbColor rgb="FF008080"/>
      <rgbColor rgb="FF0000FF"/>
      <rgbColor rgb="FF00CCFF"/>
      <rgbColor rgb="FFDCE7F7"/>
      <rgbColor rgb="FFB8E6F5"/>
      <rgbColor rgb="FFFFFF99"/>
      <rgbColor rgb="FF99CCFF"/>
      <rgbColor rgb="FFFF99CC"/>
      <rgbColor rgb="FFCC99FF"/>
      <rgbColor rgb="FFFFCC99"/>
      <rgbColor rgb="FF3366FF"/>
      <rgbColor rgb="FF35C2E8"/>
      <rgbColor rgb="FF99CC00"/>
      <rgbColor rgb="FFFFCC00"/>
      <rgbColor rgb="FFFF9900"/>
      <rgbColor rgb="FFFF6600"/>
      <rgbColor rgb="FF3E5573"/>
      <rgbColor rgb="FF969696"/>
      <rgbColor rgb="FF003366"/>
      <rgbColor rgb="FF339966"/>
      <rgbColor rgb="FF003300"/>
      <rgbColor rgb="FF333300"/>
      <rgbColor rgb="FF993300"/>
      <rgbColor rgb="FF993366"/>
      <rgbColor rgb="FF1A458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131040</xdr:rowOff>
    </xdr:from>
    <xdr:to>
      <xdr:col>1</xdr:col>
      <xdr:colOff>1306800</xdr:colOff>
      <xdr:row>6</xdr:row>
      <xdr:rowOff>35280</xdr:rowOff>
    </xdr:to>
    <xdr:pic>
      <xdr:nvPicPr>
        <xdr:cNvPr id="0" name="Image 1" descr="Picture"/>
        <xdr:cNvPicPr/>
      </xdr:nvPicPr>
      <xdr:blipFill>
        <a:blip r:embed="rId1"/>
        <a:stretch/>
      </xdr:blipFill>
      <xdr:spPr>
        <a:xfrm>
          <a:off x="0" y="571680"/>
          <a:ext cx="2857320" cy="6663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4584"/>
    <pageSetUpPr fitToPage="tru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9" customFormat="false" ht="30" hidden="false" customHeight="true" outlineLevel="0" collapsed="false">
      <c r="A9" s="3" t="s">
        <v>2</v>
      </c>
      <c r="B9" s="4" t="s">
        <v>3</v>
      </c>
    </row>
    <row r="10" customFormat="false" ht="18" hidden="false" customHeight="true" outlineLevel="0" collapsed="false">
      <c r="A10" s="3" t="s">
        <v>4</v>
      </c>
      <c r="B10" s="4" t="s">
        <v>5</v>
      </c>
    </row>
    <row r="11" customFormat="false" ht="45" hidden="false" customHeight="true" outlineLevel="0" collapsed="false">
      <c r="A11" s="3" t="s">
        <v>6</v>
      </c>
      <c r="B11" s="4" t="s">
        <v>7</v>
      </c>
    </row>
    <row r="12" customFormat="false" ht="18" hidden="false" customHeight="true" outlineLevel="0" collapsed="false">
      <c r="A12" s="3" t="s">
        <v>8</v>
      </c>
      <c r="B12" s="4" t="s">
        <v>9</v>
      </c>
    </row>
    <row r="13" customFormat="false" ht="30" hidden="false" customHeight="true" outlineLevel="0" collapsed="false">
      <c r="A13" s="3" t="s">
        <v>10</v>
      </c>
      <c r="B13" s="4" t="s">
        <v>11</v>
      </c>
    </row>
    <row r="14" customFormat="false" ht="18" hidden="false" customHeight="true" outlineLevel="0" collapsed="false">
      <c r="A14" s="3" t="s">
        <v>12</v>
      </c>
      <c r="B14" s="4" t="s">
        <v>13</v>
      </c>
    </row>
    <row r="15" customFormat="false" ht="30" hidden="false" customHeight="true" outlineLevel="0" collapsed="false">
      <c r="A15" s="3" t="s">
        <v>14</v>
      </c>
      <c r="B15" s="4" t="s">
        <v>15</v>
      </c>
    </row>
    <row r="16" customFormat="false" ht="30" hidden="false" customHeight="true" outlineLevel="0" collapsed="false">
      <c r="A16" s="3" t="s">
        <v>16</v>
      </c>
      <c r="B16" s="4" t="s">
        <v>17</v>
      </c>
    </row>
    <row r="17" customFormat="false" ht="18" hidden="false" customHeight="true" outlineLevel="0" collapsed="false">
      <c r="A17" s="3" t="s">
        <v>18</v>
      </c>
      <c r="B17" s="4" t="s">
        <v>19</v>
      </c>
    </row>
    <row r="18" customFormat="false" ht="30" hidden="false" customHeight="true" outlineLevel="0" collapsed="false">
      <c r="A18" s="3" t="s">
        <v>20</v>
      </c>
      <c r="B18" s="4" t="s">
        <v>21</v>
      </c>
    </row>
    <row r="19" customFormat="false" ht="45" hidden="false" customHeight="true" outlineLevel="0" collapsed="false">
      <c r="A19" s="3" t="s">
        <v>22</v>
      </c>
      <c r="B19" s="4" t="s">
        <v>23</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&amp;CProduct Advisory | productadvisory.co | Free for personal and internal business use. Not for resale.</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4584"/>
    <pageSetUpPr fitToPage="true"/>
  </sheetPr>
  <dimension ref="A1:I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8"/>
    <col collapsed="false" customWidth="true" hidden="false" outlineLevel="0" max="3" min="3" style="0" width="9"/>
    <col collapsed="false" customWidth="true" hidden="false" outlineLevel="0" max="9" min="4" style="0" width="12"/>
  </cols>
  <sheetData>
    <row r="1" customFormat="false" ht="19.7" hidden="false" customHeight="false" outlineLevel="0" collapsed="false">
      <c r="A1" s="1" t="s">
        <v>24</v>
      </c>
    </row>
    <row r="2" customFormat="false" ht="15" hidden="false" customHeight="false" outlineLevel="0" collapsed="false">
      <c r="A2" s="2" t="s">
        <v>25</v>
      </c>
    </row>
    <row r="3" customFormat="false" ht="15" hidden="false" customHeight="false" outlineLevel="0" collapsed="false">
      <c r="D3" s="5" t="s">
        <v>26</v>
      </c>
      <c r="G3" s="5" t="s">
        <v>27</v>
      </c>
    </row>
    <row r="4" customFormat="false" ht="30" hidden="false" customHeight="true" outlineLevel="0" collapsed="false">
      <c r="A4" s="6" t="s">
        <v>28</v>
      </c>
      <c r="B4" s="6" t="s">
        <v>29</v>
      </c>
      <c r="C4" s="6" t="s">
        <v>30</v>
      </c>
      <c r="D4" s="6" t="s">
        <v>31</v>
      </c>
      <c r="E4" s="6" t="s">
        <v>32</v>
      </c>
      <c r="F4" s="6" t="s">
        <v>33</v>
      </c>
      <c r="G4" s="6" t="s">
        <v>31</v>
      </c>
      <c r="H4" s="6" t="s">
        <v>32</v>
      </c>
      <c r="I4" s="6" t="s">
        <v>33</v>
      </c>
    </row>
    <row r="5" customFormat="false" ht="27.75" hidden="false" customHeight="true" outlineLevel="0" collapsed="false">
      <c r="A5" s="7" t="s">
        <v>34</v>
      </c>
      <c r="B5" s="8" t="s">
        <v>35</v>
      </c>
      <c r="C5" s="9" t="n">
        <v>15</v>
      </c>
      <c r="D5" s="9"/>
      <c r="E5" s="9"/>
      <c r="F5" s="9"/>
      <c r="G5" s="10" t="str">
        <f aca="false">IF(AND($C5&gt;0,D5&gt;0),$C5*D5/100,"")</f>
        <v/>
      </c>
      <c r="H5" s="10" t="str">
        <f aca="false">IF(AND($C5&gt;0,E5&gt;0),$C5*E5/100,"")</f>
        <v/>
      </c>
      <c r="I5" s="10" t="str">
        <f aca="false">IF(AND($C5&gt;0,F5&gt;0),$C5*F5/100,"")</f>
        <v/>
      </c>
    </row>
    <row r="6" customFormat="false" ht="27.75" hidden="false" customHeight="true" outlineLevel="0" collapsed="false">
      <c r="A6" s="7" t="s">
        <v>36</v>
      </c>
      <c r="B6" s="8" t="s">
        <v>37</v>
      </c>
      <c r="C6" s="9" t="n">
        <v>15</v>
      </c>
      <c r="D6" s="9"/>
      <c r="E6" s="9"/>
      <c r="F6" s="9"/>
      <c r="G6" s="10" t="str">
        <f aca="false">IF(AND($C6&gt;0,D6&gt;0),$C6*D6/100,"")</f>
        <v/>
      </c>
      <c r="H6" s="10" t="str">
        <f aca="false">IF(AND($C6&gt;0,E6&gt;0),$C6*E6/100,"")</f>
        <v/>
      </c>
      <c r="I6" s="10" t="str">
        <f aca="false">IF(AND($C6&gt;0,F6&gt;0),$C6*F6/100,"")</f>
        <v/>
      </c>
    </row>
    <row r="7" customFormat="false" ht="27.75" hidden="false" customHeight="true" outlineLevel="0" collapsed="false">
      <c r="A7" s="7" t="s">
        <v>38</v>
      </c>
      <c r="B7" s="8" t="s">
        <v>39</v>
      </c>
      <c r="C7" s="9" t="n">
        <v>12</v>
      </c>
      <c r="D7" s="9"/>
      <c r="E7" s="9"/>
      <c r="F7" s="9"/>
      <c r="G7" s="10" t="str">
        <f aca="false">IF(AND($C7&gt;0,D7&gt;0),$C7*D7/100,"")</f>
        <v/>
      </c>
      <c r="H7" s="10" t="str">
        <f aca="false">IF(AND($C7&gt;0,E7&gt;0),$C7*E7/100,"")</f>
        <v/>
      </c>
      <c r="I7" s="10" t="str">
        <f aca="false">IF(AND($C7&gt;0,F7&gt;0),$C7*F7/100,"")</f>
        <v/>
      </c>
    </row>
    <row r="8" customFormat="false" ht="27.75" hidden="false" customHeight="true" outlineLevel="0" collapsed="false">
      <c r="A8" s="7" t="s">
        <v>40</v>
      </c>
      <c r="B8" s="8" t="s">
        <v>41</v>
      </c>
      <c r="C8" s="9" t="n">
        <v>10</v>
      </c>
      <c r="D8" s="9"/>
      <c r="E8" s="9"/>
      <c r="F8" s="9"/>
      <c r="G8" s="10" t="str">
        <f aca="false">IF(AND($C8&gt;0,D8&gt;0),$C8*D8/100,"")</f>
        <v/>
      </c>
      <c r="H8" s="10" t="str">
        <f aca="false">IF(AND($C8&gt;0,E8&gt;0),$C8*E8/100,"")</f>
        <v/>
      </c>
      <c r="I8" s="10" t="str">
        <f aca="false">IF(AND($C8&gt;0,F8&gt;0),$C8*F8/100,"")</f>
        <v/>
      </c>
    </row>
    <row r="9" customFormat="false" ht="27.75" hidden="false" customHeight="true" outlineLevel="0" collapsed="false">
      <c r="A9" s="7" t="s">
        <v>42</v>
      </c>
      <c r="B9" s="8" t="s">
        <v>43</v>
      </c>
      <c r="C9" s="9" t="n">
        <v>8</v>
      </c>
      <c r="D9" s="9"/>
      <c r="E9" s="9"/>
      <c r="F9" s="9"/>
      <c r="G9" s="10" t="str">
        <f aca="false">IF(AND($C9&gt;0,D9&gt;0),$C9*D9/100,"")</f>
        <v/>
      </c>
      <c r="H9" s="10" t="str">
        <f aca="false">IF(AND($C9&gt;0,E9&gt;0),$C9*E9/100,"")</f>
        <v/>
      </c>
      <c r="I9" s="10" t="str">
        <f aca="false">IF(AND($C9&gt;0,F9&gt;0),$C9*F9/100,"")</f>
        <v/>
      </c>
    </row>
    <row r="10" customFormat="false" ht="27.75" hidden="false" customHeight="true" outlineLevel="0" collapsed="false">
      <c r="A10" s="7" t="s">
        <v>44</v>
      </c>
      <c r="B10" s="8" t="s">
        <v>45</v>
      </c>
      <c r="C10" s="9" t="n">
        <v>10</v>
      </c>
      <c r="D10" s="9"/>
      <c r="E10" s="9"/>
      <c r="F10" s="9"/>
      <c r="G10" s="10" t="str">
        <f aca="false">IF(AND($C10&gt;0,D10&gt;0),$C10*D10/100,"")</f>
        <v/>
      </c>
      <c r="H10" s="10" t="str">
        <f aca="false">IF(AND($C10&gt;0,E10&gt;0),$C10*E10/100,"")</f>
        <v/>
      </c>
      <c r="I10" s="10" t="str">
        <f aca="false">IF(AND($C10&gt;0,F10&gt;0),$C10*F10/100,"")</f>
        <v/>
      </c>
    </row>
    <row r="11" customFormat="false" ht="27.75" hidden="false" customHeight="true" outlineLevel="0" collapsed="false">
      <c r="A11" s="7" t="s">
        <v>46</v>
      </c>
      <c r="B11" s="8" t="s">
        <v>47</v>
      </c>
      <c r="C11" s="9" t="n">
        <v>8</v>
      </c>
      <c r="D11" s="9"/>
      <c r="E11" s="9"/>
      <c r="F11" s="9"/>
      <c r="G11" s="10" t="str">
        <f aca="false">IF(AND($C11&gt;0,D11&gt;0),$C11*D11/100,"")</f>
        <v/>
      </c>
      <c r="H11" s="10" t="str">
        <f aca="false">IF(AND($C11&gt;0,E11&gt;0),$C11*E11/100,"")</f>
        <v/>
      </c>
      <c r="I11" s="10" t="str">
        <f aca="false">IF(AND($C11&gt;0,F11&gt;0),$C11*F11/100,"")</f>
        <v/>
      </c>
    </row>
    <row r="12" customFormat="false" ht="27.75" hidden="false" customHeight="true" outlineLevel="0" collapsed="false">
      <c r="A12" s="7" t="s">
        <v>48</v>
      </c>
      <c r="B12" s="8" t="s">
        <v>49</v>
      </c>
      <c r="C12" s="9" t="n">
        <v>8</v>
      </c>
      <c r="D12" s="9"/>
      <c r="E12" s="9"/>
      <c r="F12" s="9"/>
      <c r="G12" s="10" t="str">
        <f aca="false">IF(AND($C12&gt;0,D12&gt;0),$C12*D12/100,"")</f>
        <v/>
      </c>
      <c r="H12" s="10" t="str">
        <f aca="false">IF(AND($C12&gt;0,E12&gt;0),$C12*E12/100,"")</f>
        <v/>
      </c>
      <c r="I12" s="10" t="str">
        <f aca="false">IF(AND($C12&gt;0,F12&gt;0),$C12*F12/100,"")</f>
        <v/>
      </c>
    </row>
    <row r="13" customFormat="false" ht="27.75" hidden="false" customHeight="true" outlineLevel="0" collapsed="false">
      <c r="A13" s="7" t="s">
        <v>50</v>
      </c>
      <c r="B13" s="8" t="s">
        <v>51</v>
      </c>
      <c r="C13" s="9" t="n">
        <v>8</v>
      </c>
      <c r="D13" s="9"/>
      <c r="E13" s="9"/>
      <c r="F13" s="9"/>
      <c r="G13" s="10" t="str">
        <f aca="false">IF(AND($C13&gt;0,D13&gt;0),$C13*D13/100,"")</f>
        <v/>
      </c>
      <c r="H13" s="10" t="str">
        <f aca="false">IF(AND($C13&gt;0,E13&gt;0),$C13*E13/100,"")</f>
        <v/>
      </c>
      <c r="I13" s="10" t="str">
        <f aca="false">IF(AND($C13&gt;0,F13&gt;0),$C13*F13/100,"")</f>
        <v/>
      </c>
    </row>
    <row r="14" customFormat="false" ht="27.75" hidden="false" customHeight="true" outlineLevel="0" collapsed="false">
      <c r="A14" s="7" t="s">
        <v>52</v>
      </c>
      <c r="B14" s="8" t="s">
        <v>53</v>
      </c>
      <c r="C14" s="9" t="n">
        <v>6</v>
      </c>
      <c r="D14" s="9"/>
      <c r="E14" s="9"/>
      <c r="F14" s="9"/>
      <c r="G14" s="10" t="str">
        <f aca="false">IF(AND($C14&gt;0,D14&gt;0),$C14*D14/100,"")</f>
        <v/>
      </c>
      <c r="H14" s="10" t="str">
        <f aca="false">IF(AND($C14&gt;0,E14&gt;0),$C14*E14/100,"")</f>
        <v/>
      </c>
      <c r="I14" s="10" t="str">
        <f aca="false">IF(AND($C14&gt;0,F14&gt;0),$C14*F14/100,"")</f>
        <v/>
      </c>
    </row>
    <row r="15" customFormat="false" ht="27.75" hidden="false" customHeight="true" outlineLevel="0" collapsed="false">
      <c r="A15" s="11"/>
      <c r="B15" s="12" t="s">
        <v>54</v>
      </c>
      <c r="C15" s="9" t="n">
        <v>0</v>
      </c>
      <c r="D15" s="9"/>
      <c r="E15" s="9"/>
      <c r="F15" s="9"/>
      <c r="G15" s="10" t="str">
        <f aca="false">IF(AND($C15&gt;0,D15&gt;0),$C15*D15/100,"")</f>
        <v/>
      </c>
      <c r="H15" s="10" t="str">
        <f aca="false">IF(AND($C15&gt;0,E15&gt;0),$C15*E15/100,"")</f>
        <v/>
      </c>
      <c r="I15" s="10" t="str">
        <f aca="false">IF(AND($C15&gt;0,F15&gt;0),$C15*F15/100,"")</f>
        <v/>
      </c>
    </row>
    <row r="16" customFormat="false" ht="27.75" hidden="false" customHeight="true" outlineLevel="0" collapsed="false">
      <c r="A16" s="11"/>
      <c r="B16" s="12" t="s">
        <v>54</v>
      </c>
      <c r="C16" s="9" t="n">
        <v>0</v>
      </c>
      <c r="D16" s="9"/>
      <c r="E16" s="9"/>
      <c r="F16" s="9"/>
      <c r="G16" s="10" t="str">
        <f aca="false">IF(AND($C16&gt;0,D16&gt;0),$C16*D16/100,"")</f>
        <v/>
      </c>
      <c r="H16" s="10" t="str">
        <f aca="false">IF(AND($C16&gt;0,E16&gt;0),$C16*E16/100,"")</f>
        <v/>
      </c>
      <c r="I16" s="10" t="str">
        <f aca="false">IF(AND($C16&gt;0,F16&gt;0),$C16*F16/100,"")</f>
        <v/>
      </c>
    </row>
    <row r="18" customFormat="false" ht="15" hidden="false" customHeight="false" outlineLevel="0" collapsed="false">
      <c r="A18" s="7" t="s">
        <v>55</v>
      </c>
      <c r="C18" s="13" t="n">
        <f aca="false">SUM(C5:C16)</f>
        <v>100</v>
      </c>
      <c r="D18" s="14" t="str">
        <f aca="false">IF(C18=100,"OK","Must total 100 (now "&amp;C18&amp;")")</f>
        <v>OK</v>
      </c>
      <c r="E18" s="14"/>
      <c r="F18" s="14"/>
    </row>
    <row r="19" customFormat="false" ht="15" hidden="false" customHeight="false" outlineLevel="0" collapsed="false">
      <c r="A19" s="7" t="s">
        <v>56</v>
      </c>
      <c r="G19" s="15" t="str">
        <f aca="false">IF(SUM(G5:G16)&gt;0,SUM(G5:G16),"")</f>
        <v/>
      </c>
      <c r="H19" s="15" t="str">
        <f aca="false">IF(SUM(H5:H16)&gt;0,SUM(H5:H16),"")</f>
        <v/>
      </c>
      <c r="I19" s="15" t="str">
        <f aca="false">IF(SUM(I5:I16)&gt;0,SUM(I5:I16),"")</f>
        <v/>
      </c>
    </row>
    <row r="20" customFormat="false" ht="15" hidden="false" customHeight="false" outlineLevel="0" collapsed="false">
      <c r="A20" s="7" t="s">
        <v>57</v>
      </c>
      <c r="G20" s="16" t="str">
        <f aca="false">IF(G19="","",G19/5)</f>
        <v/>
      </c>
      <c r="H20" s="16" t="str">
        <f aca="false">IF(H19="","",H19/5)</f>
        <v/>
      </c>
      <c r="I20" s="16" t="str">
        <f aca="false">IF(I19="","",I19/5)</f>
        <v/>
      </c>
    </row>
    <row r="22" customFormat="false" ht="24" hidden="false" customHeight="true" outlineLevel="0" collapsed="false">
      <c r="A22" s="7" t="s">
        <v>58</v>
      </c>
      <c r="C22" s="17" t="str">
        <f aca="false">IF(MAX(G19:I19)&lt;=0,"",IF(COUNTIF(G19:I19,"&gt;0")=0,"",IF((ROUND(MAX(G19:I19)-G19,2)&lt;=0.25)+(ROUND(MAX(G19:I19)-H19,2)&lt;=0.25)+(ROUND(MAX(G19:I19)-I19,2)&lt;=0.25)=1,INDEX($D$4:$F$4,MATCH(MAX(G19:I19),G19:I19,0)),"Too close to call: "&amp;MID(IF(ROUND(MAX(G19:I19)-G19,2)&lt;=0.25,", Build","")&amp;IF(ROUND(MAX(G19:I19)-H19,2)&lt;=0.25,", Buy","")&amp;IF(ROUND(MAX(G19:I19)-I19,2)&lt;=0.25,", Partner",""),3,40))))</f>
        <v/>
      </c>
      <c r="D22" s="17"/>
      <c r="E22" s="17"/>
      <c r="F22" s="17"/>
      <c r="G22" s="17"/>
      <c r="H22" s="17"/>
      <c r="I22" s="17"/>
    </row>
  </sheetData>
  <mergeCells count="2">
    <mergeCell ref="D18:F18"/>
    <mergeCell ref="C22:I22"/>
  </mergeCells>
  <conditionalFormatting sqref="G19:I19">
    <cfRule type="expression" priority="2" aboveAverage="0" equalAverage="0" bottom="0" percent="0" rank="0" text="" dxfId="0">
      <formula>AND(ISNUMBER(G19),G19=MAX($G$19:$I$19))</formula>
    </cfRule>
  </conditionalFormatting>
  <conditionalFormatting sqref="D18">
    <cfRule type="expression" priority="3" aboveAverage="0" equalAverage="0" bottom="0" percent="0" rank="0" text="" dxfId="1">
      <formula>$C$18&lt;&gt;100</formula>
    </cfRule>
  </conditionalFormatting>
  <dataValidations count="2">
    <dataValidation allowBlank="true" error="Enter a whole number from 1 to 5." errorStyle="stop" errorTitle="Score" operator="between" showDropDown="false" showErrorMessage="true" showInputMessage="false" sqref="D5:F16" type="whole">
      <formula1>1</formula1>
      <formula2>5</formula2>
    </dataValidation>
    <dataValidation allowBlank="true" error="Enter a weight from 0 to 100." errorStyle="stop" errorTitle="Weight" operator="between" showDropDown="false" showErrorMessage="true" showInputMessage="false" sqref="C5:C16" type="decimal">
      <formula1>0</formula1>
      <formula2>100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&amp;CProduct Advisory | productadvisory.co | Free for personal and internal business use. Not for resale.</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4584"/>
    <pageSetUpPr fitToPage="tru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8"/>
    <col collapsed="false" customWidth="true" hidden="false" outlineLevel="0" max="5" min="3" style="0" width="16"/>
  </cols>
  <sheetData>
    <row r="1" customFormat="false" ht="19.7" hidden="false" customHeight="false" outlineLevel="0" collapsed="false">
      <c r="A1" s="1" t="s">
        <v>59</v>
      </c>
    </row>
    <row r="2" customFormat="false" ht="15" hidden="false" customHeight="false" outlineLevel="0" collapsed="false">
      <c r="A2" s="2" t="s">
        <v>60</v>
      </c>
    </row>
    <row r="4" customFormat="false" ht="24" hidden="false" customHeight="true" outlineLevel="0" collapsed="false">
      <c r="A4" s="6" t="s">
        <v>61</v>
      </c>
      <c r="B4" s="6" t="s">
        <v>62</v>
      </c>
      <c r="C4" s="6" t="s">
        <v>31</v>
      </c>
      <c r="D4" s="6" t="s">
        <v>32</v>
      </c>
      <c r="E4" s="6" t="s">
        <v>33</v>
      </c>
    </row>
    <row r="5" customFormat="false" ht="25.5" hidden="false" customHeight="true" outlineLevel="0" collapsed="false">
      <c r="A5" s="7" t="s">
        <v>63</v>
      </c>
      <c r="B5" s="8" t="s">
        <v>64</v>
      </c>
      <c r="C5" s="18"/>
      <c r="D5" s="18"/>
      <c r="E5" s="18"/>
    </row>
    <row r="6" customFormat="false" ht="25.5" hidden="false" customHeight="true" outlineLevel="0" collapsed="false">
      <c r="A6" s="7" t="s">
        <v>65</v>
      </c>
      <c r="B6" s="8" t="s">
        <v>66</v>
      </c>
      <c r="C6" s="18"/>
      <c r="D6" s="18"/>
      <c r="E6" s="18"/>
    </row>
    <row r="7" customFormat="false" ht="25.5" hidden="false" customHeight="true" outlineLevel="0" collapsed="false">
      <c r="A7" s="7" t="s">
        <v>67</v>
      </c>
      <c r="B7" s="8" t="s">
        <v>68</v>
      </c>
      <c r="C7" s="18"/>
      <c r="D7" s="18"/>
      <c r="E7" s="18"/>
    </row>
    <row r="8" customFormat="false" ht="25.5" hidden="false" customHeight="true" outlineLevel="0" collapsed="false">
      <c r="A8" s="7" t="s">
        <v>69</v>
      </c>
      <c r="B8" s="8" t="s">
        <v>68</v>
      </c>
      <c r="C8" s="18"/>
      <c r="D8" s="18"/>
      <c r="E8" s="18"/>
    </row>
    <row r="9" customFormat="false" ht="25.5" hidden="false" customHeight="true" outlineLevel="0" collapsed="false">
      <c r="A9" s="7" t="s">
        <v>70</v>
      </c>
      <c r="B9" s="8" t="s">
        <v>71</v>
      </c>
      <c r="C9" s="18"/>
      <c r="D9" s="18"/>
      <c r="E9" s="18"/>
    </row>
    <row r="10" customFormat="false" ht="25.5" hidden="false" customHeight="true" outlineLevel="0" collapsed="false">
      <c r="A10" s="7" t="s">
        <v>72</v>
      </c>
      <c r="B10" s="8" t="s">
        <v>73</v>
      </c>
      <c r="C10" s="18"/>
      <c r="D10" s="18"/>
      <c r="E10" s="18"/>
    </row>
    <row r="11" customFormat="false" ht="15" hidden="false" customHeight="false" outlineLevel="0" collapsed="false">
      <c r="A11" s="7" t="s">
        <v>74</v>
      </c>
      <c r="C11" s="19" t="str">
        <f aca="false">IF(SUM(C5:C10)&gt;0,SUM(C5:C10),"")</f>
        <v/>
      </c>
      <c r="D11" s="19" t="str">
        <f aca="false">IF(SUM(D5:D10)&gt;0,SUM(D5:D10),"")</f>
        <v/>
      </c>
      <c r="E11" s="19" t="str">
        <f aca="false">IF(SUM(E5:E10)&gt;0,SUM(E5:E10),"")</f>
        <v/>
      </c>
    </row>
    <row r="12" customFormat="false" ht="15" hidden="false" customHeight="false" outlineLevel="0" collapsed="false">
      <c r="A12" s="7" t="s">
        <v>75</v>
      </c>
      <c r="C12" s="20" t="str">
        <f aca="false">IF(C11="","",IF(C11=MIN($C$11:$E$11),"Lowest",C11-MIN($C$11:$E$11)))</f>
        <v/>
      </c>
      <c r="D12" s="20" t="str">
        <f aca="false">IF(D11="","",IF(D11=MIN($C$11:$E$11),"Lowest",D11-MIN($C$11:$E$11)))</f>
        <v/>
      </c>
      <c r="E12" s="20" t="str">
        <f aca="false">IF(E11="","",IF(E11=MIN($C$11:$E$11),"Lowest",E11-MIN($C$11:$E$11)))</f>
        <v/>
      </c>
    </row>
    <row r="13" customFormat="false" ht="15" hidden="false" customHeight="false" outlineLevel="0" collapsed="false">
      <c r="A13" s="7" t="s">
        <v>76</v>
      </c>
      <c r="C13" s="9"/>
      <c r="D13" s="9"/>
      <c r="E13" s="9"/>
    </row>
    <row r="15" customFormat="false" ht="15" hidden="false" customHeight="false" outlineLevel="0" collapsed="false">
      <c r="A15" s="5" t="s">
        <v>77</v>
      </c>
    </row>
    <row r="16" customFormat="false" ht="15" hidden="false" customHeight="false" outlineLevel="0" collapsed="false">
      <c r="A16" s="21"/>
      <c r="B16" s="21"/>
      <c r="C16" s="21"/>
      <c r="D16" s="21"/>
      <c r="E16" s="21"/>
    </row>
    <row r="17" customFormat="false" ht="15" hidden="false" customHeight="false" outlineLevel="0" collapsed="false">
      <c r="A17" s="21"/>
      <c r="B17" s="21"/>
      <c r="C17" s="21"/>
      <c r="D17" s="21"/>
      <c r="E17" s="21"/>
    </row>
    <row r="18" customFormat="false" ht="15" hidden="false" customHeight="false" outlineLevel="0" collapsed="false">
      <c r="A18" s="21"/>
      <c r="B18" s="21"/>
      <c r="C18" s="21"/>
      <c r="D18" s="21"/>
      <c r="E18" s="21"/>
    </row>
    <row r="19" customFormat="false" ht="15" hidden="false" customHeight="false" outlineLevel="0" collapsed="false">
      <c r="A19" s="21"/>
      <c r="B19" s="21"/>
      <c r="C19" s="21"/>
      <c r="D19" s="21"/>
      <c r="E19" s="21"/>
    </row>
    <row r="20" customFormat="false" ht="15" hidden="false" customHeight="false" outlineLevel="0" collapsed="false">
      <c r="A20" s="21"/>
      <c r="B20" s="21"/>
      <c r="C20" s="21"/>
      <c r="D20" s="21"/>
      <c r="E20" s="21"/>
    </row>
    <row r="21" customFormat="false" ht="15" hidden="false" customHeight="false" outlineLevel="0" collapsed="false">
      <c r="A21" s="21"/>
      <c r="B21" s="21"/>
      <c r="C21" s="21"/>
      <c r="D21" s="21"/>
      <c r="E21" s="21"/>
    </row>
  </sheetData>
  <mergeCells count="1">
    <mergeCell ref="A16:E21"/>
  </mergeCells>
  <conditionalFormatting sqref="C11:E11">
    <cfRule type="expression" priority="2" aboveAverage="0" equalAverage="0" bottom="0" percent="0" rank="0" text="" dxfId="2">
      <formula>AND(ISNUMBER(C11),C11=MIN($C$11:$E$11))</formula>
    </cfRule>
  </conditionalFormatting>
  <dataValidations count="1">
    <dataValidation allowBlank="true" error="Enter a dollar amount of 0 or more." errorStyle="stop" operator="greaterThanOrEqual" showDropDown="false" showErrorMessage="true" showInputMessage="false" sqref="C5:E10" type="decimal">
      <formula1>0</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&amp;CProduct Advisory | productadvisory.co | Free for personal and internal business use. Not for resale.</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4584"/>
    <pageSetUpPr fitToPage="tru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5" min="2" style="0" width="26"/>
  </cols>
  <sheetData>
    <row r="1" customFormat="false" ht="19.7" hidden="false" customHeight="false" outlineLevel="0" collapsed="false">
      <c r="A1" s="1" t="s">
        <v>78</v>
      </c>
    </row>
    <row r="2" customFormat="false" ht="15" hidden="false" customHeight="false" outlineLevel="0" collapsed="false">
      <c r="A2" s="2" t="s">
        <v>79</v>
      </c>
    </row>
    <row r="4" customFormat="false" ht="15" hidden="false" customHeight="false" outlineLevel="0" collapsed="false">
      <c r="A4" s="22" t="s">
        <v>80</v>
      </c>
    </row>
    <row r="5" customFormat="false" ht="31.5" hidden="false" customHeight="true" outlineLevel="0" collapsed="false">
      <c r="A5" s="7" t="s">
        <v>81</v>
      </c>
      <c r="B5" s="23"/>
      <c r="C5" s="23"/>
      <c r="D5" s="23"/>
      <c r="E5" s="23"/>
    </row>
    <row r="6" customFormat="false" ht="31.5" hidden="false" customHeight="true" outlineLevel="0" collapsed="false">
      <c r="A6" s="7" t="s">
        <v>82</v>
      </c>
      <c r="B6" s="23"/>
      <c r="C6" s="23"/>
      <c r="D6" s="23"/>
      <c r="E6" s="23"/>
    </row>
    <row r="7" customFormat="false" ht="21.75" hidden="false" customHeight="true" outlineLevel="0" collapsed="false">
      <c r="A7" s="7" t="s">
        <v>83</v>
      </c>
      <c r="B7" s="23"/>
      <c r="C7" s="23"/>
      <c r="D7" s="23"/>
      <c r="E7" s="23"/>
    </row>
    <row r="8" customFormat="false" ht="21.75" hidden="false" customHeight="true" outlineLevel="0" collapsed="false">
      <c r="A8" s="7" t="s">
        <v>84</v>
      </c>
      <c r="B8" s="23"/>
      <c r="C8" s="23"/>
      <c r="D8" s="23"/>
      <c r="E8" s="23"/>
    </row>
    <row r="9" customFormat="false" ht="21.75" hidden="false" customHeight="true" outlineLevel="0" collapsed="false">
      <c r="A9" s="7" t="s">
        <v>85</v>
      </c>
      <c r="B9" s="23"/>
      <c r="C9" s="23"/>
      <c r="D9" s="23"/>
      <c r="E9" s="23"/>
    </row>
    <row r="10" customFormat="false" ht="48" hidden="false" customHeight="true" outlineLevel="0" collapsed="false">
      <c r="A10" s="7" t="s">
        <v>86</v>
      </c>
      <c r="B10" s="23"/>
      <c r="C10" s="23"/>
      <c r="D10" s="23"/>
      <c r="E10" s="23"/>
    </row>
    <row r="11" customFormat="false" ht="48" hidden="false" customHeight="true" outlineLevel="0" collapsed="false">
      <c r="A11" s="7" t="s">
        <v>87</v>
      </c>
      <c r="B11" s="23"/>
      <c r="C11" s="23"/>
      <c r="D11" s="23"/>
      <c r="E11" s="23"/>
    </row>
    <row r="12" customFormat="false" ht="39.75" hidden="false" customHeight="true" outlineLevel="0" collapsed="false">
      <c r="A12" s="7" t="s">
        <v>88</v>
      </c>
      <c r="B12" s="23"/>
      <c r="C12" s="23"/>
      <c r="D12" s="23"/>
      <c r="E12" s="23"/>
    </row>
    <row r="13" customFormat="false" ht="39.75" hidden="false" customHeight="true" outlineLevel="0" collapsed="false">
      <c r="A13" s="7" t="s">
        <v>89</v>
      </c>
      <c r="B13" s="23"/>
      <c r="C13" s="23"/>
      <c r="D13" s="23"/>
      <c r="E13" s="23"/>
    </row>
    <row r="14" customFormat="false" ht="39.75" hidden="false" customHeight="true" outlineLevel="0" collapsed="false">
      <c r="A14" s="7" t="s">
        <v>90</v>
      </c>
      <c r="B14" s="23"/>
      <c r="C14" s="23"/>
      <c r="D14" s="23"/>
      <c r="E14" s="23"/>
    </row>
    <row r="15" customFormat="false" ht="39.75" hidden="false" customHeight="true" outlineLevel="0" collapsed="false">
      <c r="A15" s="24" t="s">
        <v>91</v>
      </c>
      <c r="B15" s="24"/>
      <c r="C15" s="24"/>
      <c r="D15" s="24"/>
      <c r="E15" s="24"/>
    </row>
    <row r="17" customFormat="false" ht="15" hidden="false" customHeight="false" outlineLevel="0" collapsed="false">
      <c r="A17" s="22" t="s">
        <v>92</v>
      </c>
    </row>
    <row r="18" customFormat="false" ht="15" hidden="false" customHeight="false" outlineLevel="0" collapsed="false">
      <c r="A18" s="6" t="s">
        <v>93</v>
      </c>
      <c r="B18" s="6" t="s">
        <v>31</v>
      </c>
      <c r="C18" s="6" t="s">
        <v>32</v>
      </c>
      <c r="D18" s="6" t="s">
        <v>33</v>
      </c>
    </row>
    <row r="19" customFormat="false" ht="15" hidden="false" customHeight="false" outlineLevel="0" collapsed="false">
      <c r="A19" s="7" t="s">
        <v>94</v>
      </c>
      <c r="B19" s="25" t="str">
        <f aca="false">Scoring!G19</f>
        <v/>
      </c>
      <c r="C19" s="10" t="str">
        <f aca="false">Scoring!H19</f>
        <v/>
      </c>
      <c r="D19" s="10" t="str">
        <f aca="false">Scoring!I19</f>
        <v/>
      </c>
    </row>
    <row r="20" customFormat="false" ht="15" hidden="false" customHeight="false" outlineLevel="0" collapsed="false">
      <c r="A20" s="7" t="s">
        <v>95</v>
      </c>
      <c r="B20" s="26" t="str">
        <f aca="false">Cost!C11</f>
        <v/>
      </c>
      <c r="C20" s="27" t="str">
        <f aca="false">Cost!D11</f>
        <v/>
      </c>
      <c r="D20" s="27" t="str">
        <f aca="false">Cost!E11</f>
        <v/>
      </c>
    </row>
    <row r="21" customFormat="false" ht="15" hidden="false" customHeight="false" outlineLevel="0" collapsed="false">
      <c r="A21" s="7" t="s">
        <v>96</v>
      </c>
      <c r="B21" s="28" t="str">
        <f aca="false">IF(Cost!C13="","",Cost!C13)</f>
        <v/>
      </c>
      <c r="C21" s="29" t="str">
        <f aca="false">IF(Cost!D13="","",Cost!D13)</f>
        <v/>
      </c>
      <c r="D21" s="29" t="str">
        <f aca="false">IF(Cost!E13="","",Cost!E13)</f>
        <v/>
      </c>
    </row>
    <row r="22" customFormat="false" ht="15" hidden="false" customHeight="false" outlineLevel="0" collapsed="false">
      <c r="A22" s="7" t="s">
        <v>97</v>
      </c>
      <c r="B22" s="30" t="str">
        <f aca="false">Scoring!C22</f>
        <v/>
      </c>
      <c r="C22" s="30"/>
      <c r="D22" s="30"/>
      <c r="E22" s="30"/>
    </row>
    <row r="23" customFormat="false" ht="15" hidden="false" customHeight="false" outlineLevel="0" collapsed="false">
      <c r="A23" s="7" t="s">
        <v>98</v>
      </c>
      <c r="B23" s="30" t="str">
        <f aca="false">IF(COUNT(B20:D20)=0,"",INDEX($B$18:$D$18,MATCH(MIN(B20:D20),B20:D20,0)))</f>
        <v/>
      </c>
      <c r="C23" s="30"/>
      <c r="D23" s="30"/>
      <c r="E23" s="30"/>
    </row>
    <row r="25" customFormat="false" ht="15" hidden="false" customHeight="false" outlineLevel="0" collapsed="false">
      <c r="A25" s="7" t="s">
        <v>99</v>
      </c>
    </row>
    <row r="26" customFormat="false" ht="15" hidden="false" customHeight="true" outlineLevel="0" collapsed="false">
      <c r="A26" s="31" t="s">
        <v>100</v>
      </c>
      <c r="B26" s="31"/>
      <c r="C26" s="31"/>
      <c r="D26" s="31"/>
      <c r="E26" s="31"/>
    </row>
    <row r="27" customFormat="false" ht="15" hidden="false" customHeight="true" outlineLevel="0" collapsed="false">
      <c r="A27" s="31" t="s">
        <v>101</v>
      </c>
      <c r="B27" s="31"/>
      <c r="C27" s="31"/>
      <c r="D27" s="31"/>
      <c r="E27" s="31"/>
    </row>
    <row r="28" customFormat="false" ht="15" hidden="false" customHeight="true" outlineLevel="0" collapsed="false">
      <c r="A28" s="31" t="s">
        <v>102</v>
      </c>
      <c r="B28" s="31"/>
      <c r="C28" s="31"/>
      <c r="D28" s="31"/>
      <c r="E28" s="31"/>
    </row>
    <row r="29" customFormat="false" ht="15" hidden="false" customHeight="true" outlineLevel="0" collapsed="false">
      <c r="A29" s="31" t="s">
        <v>103</v>
      </c>
      <c r="B29" s="31"/>
      <c r="C29" s="31"/>
      <c r="D29" s="31"/>
      <c r="E29" s="31"/>
    </row>
    <row r="31" customFormat="false" ht="15" hidden="false" customHeight="false" outlineLevel="0" collapsed="false">
      <c r="A31" s="22" t="s">
        <v>104</v>
      </c>
    </row>
    <row r="32" customFormat="false" ht="15" hidden="false" customHeight="false" outlineLevel="0" collapsed="false">
      <c r="A32" s="7" t="s">
        <v>105</v>
      </c>
      <c r="B32" s="32"/>
      <c r="C32" s="32"/>
      <c r="D32" s="32"/>
      <c r="E32" s="32"/>
    </row>
    <row r="33" customFormat="false" ht="60" hidden="false" customHeight="true" outlineLevel="0" collapsed="false">
      <c r="A33" s="7" t="s">
        <v>106</v>
      </c>
      <c r="B33" s="23"/>
      <c r="C33" s="23"/>
      <c r="D33" s="23"/>
      <c r="E33" s="23"/>
    </row>
    <row r="34" customFormat="false" ht="30" hidden="false" customHeight="true" outlineLevel="0" collapsed="false">
      <c r="A34" s="7" t="s">
        <v>107</v>
      </c>
      <c r="B34" s="23"/>
      <c r="C34" s="23"/>
      <c r="D34" s="23"/>
      <c r="E34" s="23"/>
    </row>
    <row r="35" customFormat="false" ht="30" hidden="false" customHeight="true" outlineLevel="0" collapsed="false">
      <c r="A35" s="7" t="s">
        <v>108</v>
      </c>
      <c r="B35" s="23"/>
      <c r="C35" s="23"/>
      <c r="D35" s="23"/>
      <c r="E35" s="23"/>
    </row>
    <row r="36" customFormat="false" ht="30" hidden="false" customHeight="true" outlineLevel="0" collapsed="false">
      <c r="A36" s="7" t="s">
        <v>109</v>
      </c>
      <c r="B36" s="23"/>
      <c r="C36" s="23"/>
      <c r="D36" s="23"/>
      <c r="E36" s="23"/>
    </row>
    <row r="37" customFormat="false" ht="45" hidden="false" customHeight="true" outlineLevel="0" collapsed="false">
      <c r="A37" s="7" t="s">
        <v>110</v>
      </c>
      <c r="B37" s="23"/>
      <c r="C37" s="23"/>
      <c r="D37" s="23"/>
      <c r="E37" s="23"/>
    </row>
    <row r="38" customFormat="false" ht="60" hidden="false" customHeight="true" outlineLevel="0" collapsed="false">
      <c r="A38" s="7" t="s">
        <v>111</v>
      </c>
      <c r="B38" s="23"/>
      <c r="C38" s="23"/>
      <c r="D38" s="23"/>
      <c r="E38" s="23"/>
    </row>
    <row r="39" customFormat="false" ht="21.75" hidden="false" customHeight="true" outlineLevel="0" collapsed="false">
      <c r="A39" s="7" t="s">
        <v>112</v>
      </c>
      <c r="B39" s="23"/>
      <c r="C39" s="23"/>
      <c r="D39" s="23"/>
      <c r="E39" s="23"/>
    </row>
    <row r="40" customFormat="false" ht="21.75" hidden="false" customHeight="true" outlineLevel="0" collapsed="false">
      <c r="A40" s="7" t="s">
        <v>113</v>
      </c>
      <c r="B40" s="23"/>
      <c r="C40" s="23"/>
      <c r="D40" s="23"/>
      <c r="E40" s="23"/>
    </row>
  </sheetData>
  <mergeCells count="26">
    <mergeCell ref="B5:E5"/>
    <mergeCell ref="B6:E6"/>
    <mergeCell ref="B7:E7"/>
    <mergeCell ref="B8:E8"/>
    <mergeCell ref="B9:E9"/>
    <mergeCell ref="B10:E10"/>
    <mergeCell ref="B11:E11"/>
    <mergeCell ref="B12:E12"/>
    <mergeCell ref="B13:E13"/>
    <mergeCell ref="B14:E14"/>
    <mergeCell ref="A15:E15"/>
    <mergeCell ref="B22:E22"/>
    <mergeCell ref="B23:E23"/>
    <mergeCell ref="A26:E26"/>
    <mergeCell ref="A27:E27"/>
    <mergeCell ref="A28:E28"/>
    <mergeCell ref="A29:E29"/>
    <mergeCell ref="B32:E32"/>
    <mergeCell ref="B33:E33"/>
    <mergeCell ref="B34:E34"/>
    <mergeCell ref="B35:E35"/>
    <mergeCell ref="B36:E36"/>
    <mergeCell ref="B37:E37"/>
    <mergeCell ref="B38:E38"/>
    <mergeCell ref="B39:E39"/>
    <mergeCell ref="B40:E40"/>
  </mergeCells>
  <dataValidations count="1">
    <dataValidation allowBlank="true" errorStyle="stop" operator="between" showDropDown="false" showErrorMessage="false" showInputMessage="false" sqref="B32" type="list">
      <formula1>"Build,Buy,Partner,Hybrid or phased"</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&amp;CProduct Advisory | productadvisory.co | Free for personal and internal business use. Not for resale.</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4584"/>
    <pageSetUpPr fitToPage="tru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8"/>
    <col collapsed="false" customWidth="true" hidden="false" outlineLevel="0" max="3" min="3" style="0" width="9"/>
    <col collapsed="false" customWidth="true" hidden="false" outlineLevel="0" max="9" min="4" style="0" width="12"/>
  </cols>
  <sheetData>
    <row r="1" customFormat="false" ht="19.7" hidden="false" customHeight="false" outlineLevel="0" collapsed="false">
      <c r="A1" s="1" t="s">
        <v>114</v>
      </c>
    </row>
    <row r="2" customFormat="false" ht="15" hidden="false" customHeight="false" outlineLevel="0" collapsed="false">
      <c r="A2" s="2" t="s">
        <v>115</v>
      </c>
    </row>
    <row r="3" customFormat="false" ht="15" hidden="false" customHeight="false" outlineLevel="0" collapsed="false">
      <c r="D3" s="5" t="s">
        <v>26</v>
      </c>
      <c r="G3" s="5" t="s">
        <v>27</v>
      </c>
    </row>
    <row r="4" customFormat="false" ht="30" hidden="false" customHeight="true" outlineLevel="0" collapsed="false">
      <c r="A4" s="6" t="s">
        <v>28</v>
      </c>
      <c r="B4" s="6" t="s">
        <v>29</v>
      </c>
      <c r="C4" s="6" t="s">
        <v>30</v>
      </c>
      <c r="D4" s="6" t="s">
        <v>31</v>
      </c>
      <c r="E4" s="6" t="s">
        <v>32</v>
      </c>
      <c r="F4" s="6" t="s">
        <v>33</v>
      </c>
      <c r="G4" s="6" t="s">
        <v>31</v>
      </c>
      <c r="H4" s="6" t="s">
        <v>32</v>
      </c>
      <c r="I4" s="6" t="s">
        <v>33</v>
      </c>
    </row>
    <row r="5" customFormat="false" ht="27.75" hidden="false" customHeight="true" outlineLevel="0" collapsed="false">
      <c r="A5" s="7" t="s">
        <v>34</v>
      </c>
      <c r="B5" s="8" t="s">
        <v>35</v>
      </c>
      <c r="C5" s="9" t="n">
        <v>15</v>
      </c>
      <c r="D5" s="9" t="n">
        <v>4</v>
      </c>
      <c r="E5" s="9" t="n">
        <v>2</v>
      </c>
      <c r="F5" s="9" t="n">
        <v>3</v>
      </c>
      <c r="G5" s="10" t="n">
        <f aca="false">IF(AND($C5&gt;0,D5&gt;0),$C5*D5/100,"")</f>
        <v>0.6</v>
      </c>
      <c r="H5" s="10" t="n">
        <f aca="false">IF(AND($C5&gt;0,E5&gt;0),$C5*E5/100,"")</f>
        <v>0.3</v>
      </c>
      <c r="I5" s="10" t="n">
        <f aca="false">IF(AND($C5&gt;0,F5&gt;0),$C5*F5/100,"")</f>
        <v>0.45</v>
      </c>
    </row>
    <row r="6" customFormat="false" ht="27.75" hidden="false" customHeight="true" outlineLevel="0" collapsed="false">
      <c r="A6" s="7" t="s">
        <v>36</v>
      </c>
      <c r="B6" s="8" t="s">
        <v>37</v>
      </c>
      <c r="C6" s="9" t="n">
        <v>15</v>
      </c>
      <c r="D6" s="9" t="n">
        <v>2</v>
      </c>
      <c r="E6" s="9" t="n">
        <v>5</v>
      </c>
      <c r="F6" s="9" t="n">
        <v>4</v>
      </c>
      <c r="G6" s="10" t="n">
        <f aca="false">IF(AND($C6&gt;0,D6&gt;0),$C6*D6/100,"")</f>
        <v>0.3</v>
      </c>
      <c r="H6" s="10" t="n">
        <f aca="false">IF(AND($C6&gt;0,E6&gt;0),$C6*E6/100,"")</f>
        <v>0.75</v>
      </c>
      <c r="I6" s="10" t="n">
        <f aca="false">IF(AND($C6&gt;0,F6&gt;0),$C6*F6/100,"")</f>
        <v>0.6</v>
      </c>
    </row>
    <row r="7" customFormat="false" ht="27.75" hidden="false" customHeight="true" outlineLevel="0" collapsed="false">
      <c r="A7" s="7" t="s">
        <v>38</v>
      </c>
      <c r="B7" s="8" t="s">
        <v>39</v>
      </c>
      <c r="C7" s="9" t="n">
        <v>12</v>
      </c>
      <c r="D7" s="9" t="n">
        <v>2</v>
      </c>
      <c r="E7" s="9" t="n">
        <v>4</v>
      </c>
      <c r="F7" s="9" t="n">
        <v>3</v>
      </c>
      <c r="G7" s="10" t="n">
        <f aca="false">IF(AND($C7&gt;0,D7&gt;0),$C7*D7/100,"")</f>
        <v>0.24</v>
      </c>
      <c r="H7" s="10" t="n">
        <f aca="false">IF(AND($C7&gt;0,E7&gt;0),$C7*E7/100,"")</f>
        <v>0.48</v>
      </c>
      <c r="I7" s="10" t="n">
        <f aca="false">IF(AND($C7&gt;0,F7&gt;0),$C7*F7/100,"")</f>
        <v>0.36</v>
      </c>
    </row>
    <row r="8" customFormat="false" ht="27.75" hidden="false" customHeight="true" outlineLevel="0" collapsed="false">
      <c r="A8" s="7" t="s">
        <v>40</v>
      </c>
      <c r="B8" s="8" t="s">
        <v>41</v>
      </c>
      <c r="C8" s="9" t="n">
        <v>10</v>
      </c>
      <c r="D8" s="9" t="n">
        <v>5</v>
      </c>
      <c r="E8" s="9" t="n">
        <v>3</v>
      </c>
      <c r="F8" s="9" t="n">
        <v>4</v>
      </c>
      <c r="G8" s="10" t="n">
        <f aca="false">IF(AND($C8&gt;0,D8&gt;0),$C8*D8/100,"")</f>
        <v>0.5</v>
      </c>
      <c r="H8" s="10" t="n">
        <f aca="false">IF(AND($C8&gt;0,E8&gt;0),$C8*E8/100,"")</f>
        <v>0.3</v>
      </c>
      <c r="I8" s="10" t="n">
        <f aca="false">IF(AND($C8&gt;0,F8&gt;0),$C8*F8/100,"")</f>
        <v>0.4</v>
      </c>
    </row>
    <row r="9" customFormat="false" ht="27.75" hidden="false" customHeight="true" outlineLevel="0" collapsed="false">
      <c r="A9" s="7" t="s">
        <v>42</v>
      </c>
      <c r="B9" s="8" t="s">
        <v>43</v>
      </c>
      <c r="C9" s="9" t="n">
        <v>8</v>
      </c>
      <c r="D9" s="9" t="n">
        <v>5</v>
      </c>
      <c r="E9" s="9" t="n">
        <v>2</v>
      </c>
      <c r="F9" s="9" t="n">
        <v>3</v>
      </c>
      <c r="G9" s="10" t="n">
        <f aca="false">IF(AND($C9&gt;0,D9&gt;0),$C9*D9/100,"")</f>
        <v>0.4</v>
      </c>
      <c r="H9" s="10" t="n">
        <f aca="false">IF(AND($C9&gt;0,E9&gt;0),$C9*E9/100,"")</f>
        <v>0.16</v>
      </c>
      <c r="I9" s="10" t="n">
        <f aca="false">IF(AND($C9&gt;0,F9&gt;0),$C9*F9/100,"")</f>
        <v>0.24</v>
      </c>
    </row>
    <row r="10" customFormat="false" ht="27.75" hidden="false" customHeight="true" outlineLevel="0" collapsed="false">
      <c r="A10" s="7" t="s">
        <v>44</v>
      </c>
      <c r="B10" s="8" t="s">
        <v>45</v>
      </c>
      <c r="C10" s="9" t="n">
        <v>10</v>
      </c>
      <c r="D10" s="9" t="n">
        <v>2</v>
      </c>
      <c r="E10" s="9" t="n">
        <v>4</v>
      </c>
      <c r="F10" s="9" t="n">
        <v>3</v>
      </c>
      <c r="G10" s="10" t="n">
        <f aca="false">IF(AND($C10&gt;0,D10&gt;0),$C10*D10/100,"")</f>
        <v>0.2</v>
      </c>
      <c r="H10" s="10" t="n">
        <f aca="false">IF(AND($C10&gt;0,E10&gt;0),$C10*E10/100,"")</f>
        <v>0.4</v>
      </c>
      <c r="I10" s="10" t="n">
        <f aca="false">IF(AND($C10&gt;0,F10&gt;0),$C10*F10/100,"")</f>
        <v>0.3</v>
      </c>
    </row>
    <row r="11" customFormat="false" ht="27.75" hidden="false" customHeight="true" outlineLevel="0" collapsed="false">
      <c r="A11" s="7" t="s">
        <v>46</v>
      </c>
      <c r="B11" s="8" t="s">
        <v>47</v>
      </c>
      <c r="C11" s="9" t="n">
        <v>8</v>
      </c>
      <c r="D11" s="9" t="n">
        <v>2</v>
      </c>
      <c r="E11" s="9" t="n">
        <v>4</v>
      </c>
      <c r="F11" s="9" t="n">
        <v>4</v>
      </c>
      <c r="G11" s="10" t="n">
        <f aca="false">IF(AND($C11&gt;0,D11&gt;0),$C11*D11/100,"")</f>
        <v>0.16</v>
      </c>
      <c r="H11" s="10" t="n">
        <f aca="false">IF(AND($C11&gt;0,E11&gt;0),$C11*E11/100,"")</f>
        <v>0.32</v>
      </c>
      <c r="I11" s="10" t="n">
        <f aca="false">IF(AND($C11&gt;0,F11&gt;0),$C11*F11/100,"")</f>
        <v>0.32</v>
      </c>
    </row>
    <row r="12" customFormat="false" ht="27.75" hidden="false" customHeight="true" outlineLevel="0" collapsed="false">
      <c r="A12" s="7" t="s">
        <v>48</v>
      </c>
      <c r="B12" s="8" t="s">
        <v>49</v>
      </c>
      <c r="C12" s="9" t="n">
        <v>8</v>
      </c>
      <c r="D12" s="9" t="n">
        <v>3</v>
      </c>
      <c r="E12" s="9" t="n">
        <v>3</v>
      </c>
      <c r="F12" s="9" t="n">
        <v>4</v>
      </c>
      <c r="G12" s="10" t="n">
        <f aca="false">IF(AND($C12&gt;0,D12&gt;0),$C12*D12/100,"")</f>
        <v>0.24</v>
      </c>
      <c r="H12" s="10" t="n">
        <f aca="false">IF(AND($C12&gt;0,E12&gt;0),$C12*E12/100,"")</f>
        <v>0.24</v>
      </c>
      <c r="I12" s="10" t="n">
        <f aca="false">IF(AND($C12&gt;0,F12&gt;0),$C12*F12/100,"")</f>
        <v>0.32</v>
      </c>
    </row>
    <row r="13" customFormat="false" ht="27.75" hidden="false" customHeight="true" outlineLevel="0" collapsed="false">
      <c r="A13" s="7" t="s">
        <v>50</v>
      </c>
      <c r="B13" s="8" t="s">
        <v>51</v>
      </c>
      <c r="C13" s="9" t="n">
        <v>8</v>
      </c>
      <c r="D13" s="9" t="n">
        <v>4</v>
      </c>
      <c r="E13" s="9" t="n">
        <v>4</v>
      </c>
      <c r="F13" s="9" t="n">
        <v>3</v>
      </c>
      <c r="G13" s="10" t="n">
        <f aca="false">IF(AND($C13&gt;0,D13&gt;0),$C13*D13/100,"")</f>
        <v>0.32</v>
      </c>
      <c r="H13" s="10" t="n">
        <f aca="false">IF(AND($C13&gt;0,E13&gt;0),$C13*E13/100,"")</f>
        <v>0.32</v>
      </c>
      <c r="I13" s="10" t="n">
        <f aca="false">IF(AND($C13&gt;0,F13&gt;0),$C13*F13/100,"")</f>
        <v>0.24</v>
      </c>
    </row>
    <row r="14" customFormat="false" ht="27.75" hidden="false" customHeight="true" outlineLevel="0" collapsed="false">
      <c r="A14" s="7" t="s">
        <v>52</v>
      </c>
      <c r="B14" s="8" t="s">
        <v>53</v>
      </c>
      <c r="C14" s="9" t="n">
        <v>6</v>
      </c>
      <c r="D14" s="9" t="n">
        <v>5</v>
      </c>
      <c r="E14" s="9" t="n">
        <v>2</v>
      </c>
      <c r="F14" s="9" t="n">
        <v>3</v>
      </c>
      <c r="G14" s="10" t="n">
        <f aca="false">IF(AND($C14&gt;0,D14&gt;0),$C14*D14/100,"")</f>
        <v>0.3</v>
      </c>
      <c r="H14" s="10" t="n">
        <f aca="false">IF(AND($C14&gt;0,E14&gt;0),$C14*E14/100,"")</f>
        <v>0.12</v>
      </c>
      <c r="I14" s="10" t="n">
        <f aca="false">IF(AND($C14&gt;0,F14&gt;0),$C14*F14/100,"")</f>
        <v>0.18</v>
      </c>
    </row>
    <row r="15" customFormat="false" ht="27.75" hidden="false" customHeight="true" outlineLevel="0" collapsed="false">
      <c r="B15" s="12" t="s">
        <v>54</v>
      </c>
      <c r="C15" s="9" t="n">
        <v>0</v>
      </c>
      <c r="D15" s="9"/>
      <c r="E15" s="9"/>
      <c r="F15" s="9"/>
      <c r="G15" s="10" t="str">
        <f aca="false">IF(AND($C15&gt;0,D15&gt;0),$C15*D15/100,"")</f>
        <v/>
      </c>
      <c r="H15" s="10" t="str">
        <f aca="false">IF(AND($C15&gt;0,E15&gt;0),$C15*E15/100,"")</f>
        <v/>
      </c>
      <c r="I15" s="10" t="str">
        <f aca="false">IF(AND($C15&gt;0,F15&gt;0),$C15*F15/100,"")</f>
        <v/>
      </c>
    </row>
    <row r="16" customFormat="false" ht="27.75" hidden="false" customHeight="true" outlineLevel="0" collapsed="false">
      <c r="B16" s="12" t="s">
        <v>54</v>
      </c>
      <c r="C16" s="9" t="n">
        <v>0</v>
      </c>
      <c r="D16" s="9"/>
      <c r="E16" s="9"/>
      <c r="F16" s="9"/>
      <c r="G16" s="10" t="str">
        <f aca="false">IF(AND($C16&gt;0,D16&gt;0),$C16*D16/100,"")</f>
        <v/>
      </c>
      <c r="H16" s="10" t="str">
        <f aca="false">IF(AND($C16&gt;0,E16&gt;0),$C16*E16/100,"")</f>
        <v/>
      </c>
      <c r="I16" s="10" t="str">
        <f aca="false">IF(AND($C16&gt;0,F16&gt;0),$C16*F16/100,"")</f>
        <v/>
      </c>
    </row>
    <row r="18" customFormat="false" ht="15" hidden="false" customHeight="false" outlineLevel="0" collapsed="false">
      <c r="A18" s="7" t="s">
        <v>55</v>
      </c>
      <c r="C18" s="13" t="n">
        <f aca="false">SUM(C5:C16)</f>
        <v>100</v>
      </c>
      <c r="D18" s="14" t="str">
        <f aca="false">IF(C18=100,"OK","Must total 100 (now "&amp;C18&amp;")")</f>
        <v>OK</v>
      </c>
      <c r="E18" s="14"/>
      <c r="F18" s="14"/>
    </row>
    <row r="19" customFormat="false" ht="15" hidden="false" customHeight="false" outlineLevel="0" collapsed="false">
      <c r="A19" s="7" t="s">
        <v>56</v>
      </c>
      <c r="G19" s="15" t="n">
        <f aca="false">IF(SUM(G5:G16)&gt;0,SUM(G5:G16),"")</f>
        <v>3.26</v>
      </c>
      <c r="H19" s="15" t="n">
        <f aca="false">IF(SUM(H5:H16)&gt;0,SUM(H5:H16),"")</f>
        <v>3.39</v>
      </c>
      <c r="I19" s="15" t="n">
        <f aca="false">IF(SUM(I5:I16)&gt;0,SUM(I5:I16),"")</f>
        <v>3.41</v>
      </c>
    </row>
    <row r="20" customFormat="false" ht="15" hidden="false" customHeight="false" outlineLevel="0" collapsed="false">
      <c r="A20" s="7" t="s">
        <v>57</v>
      </c>
      <c r="G20" s="16" t="n">
        <f aca="false">IF(G19="","",G19/5)</f>
        <v>0.652</v>
      </c>
      <c r="H20" s="16" t="n">
        <f aca="false">IF(H19="","",H19/5)</f>
        <v>0.678</v>
      </c>
      <c r="I20" s="16" t="n">
        <f aca="false">IF(I19="","",I19/5)</f>
        <v>0.682</v>
      </c>
    </row>
    <row r="22" customFormat="false" ht="24" hidden="false" customHeight="true" outlineLevel="0" collapsed="false">
      <c r="A22" s="7" t="s">
        <v>58</v>
      </c>
      <c r="C22" s="17" t="str">
        <f aca="false">IF(MAX(G19:I19)&lt;=0,"",IF(COUNTIF(G19:I19,"&gt;0")=0,"",IF((ROUND(MAX(G19:I19)-G19,2)&lt;=0.25)+(ROUND(MAX(G19:I19)-H19,2)&lt;=0.25)+(ROUND(MAX(G19:I19)-I19,2)&lt;=0.25)=1,INDEX($D$4:$F$4,MATCH(MAX(G19:I19),G19:I19,0)),"Too close to call: "&amp;MID(IF(ROUND(MAX(G19:I19)-G19,2)&lt;=0.25,", Build","")&amp;IF(ROUND(MAX(G19:I19)-H19,2)&lt;=0.25,", Buy","")&amp;IF(ROUND(MAX(G19:I19)-I19,2)&lt;=0.25,", Partner",""),3,40))))</f>
        <v>Too close to call: Build, Buy, Partner</v>
      </c>
      <c r="D22" s="17"/>
      <c r="E22" s="17"/>
      <c r="F22" s="17"/>
      <c r="G22" s="17"/>
      <c r="H22" s="17"/>
      <c r="I22" s="17"/>
    </row>
    <row r="25" customFormat="false" ht="15" hidden="false" customHeight="false" outlineLevel="0" collapsed="false">
      <c r="A25" s="33" t="s">
        <v>116</v>
      </c>
    </row>
    <row r="26" customFormat="false" ht="15" hidden="false" customHeight="false" outlineLevel="0" collapsed="false">
      <c r="A26" s="6" t="s">
        <v>61</v>
      </c>
      <c r="B26" s="6" t="s">
        <v>62</v>
      </c>
      <c r="C26" s="6" t="s">
        <v>31</v>
      </c>
      <c r="D26" s="6" t="s">
        <v>32</v>
      </c>
      <c r="E26" s="6" t="s">
        <v>33</v>
      </c>
    </row>
    <row r="27" customFormat="false" ht="15" hidden="false" customHeight="false" outlineLevel="0" collapsed="false">
      <c r="A27" s="7" t="s">
        <v>63</v>
      </c>
      <c r="B27" s="8" t="s">
        <v>64</v>
      </c>
      <c r="C27" s="34" t="n">
        <v>220000</v>
      </c>
      <c r="D27" s="34" t="n">
        <v>40000</v>
      </c>
      <c r="E27" s="34" t="n">
        <v>80000</v>
      </c>
    </row>
    <row r="28" customFormat="false" ht="15" hidden="false" customHeight="false" outlineLevel="0" collapsed="false">
      <c r="A28" s="7" t="s">
        <v>65</v>
      </c>
      <c r="B28" s="8" t="s">
        <v>66</v>
      </c>
      <c r="C28" s="34" t="n">
        <v>60000</v>
      </c>
      <c r="D28" s="34" t="n">
        <v>90000</v>
      </c>
      <c r="E28" s="34" t="n">
        <v>70000</v>
      </c>
    </row>
    <row r="29" customFormat="false" ht="15" hidden="false" customHeight="false" outlineLevel="0" collapsed="false">
      <c r="A29" s="7" t="s">
        <v>67</v>
      </c>
      <c r="B29" s="8" t="s">
        <v>68</v>
      </c>
      <c r="C29" s="34" t="n">
        <v>60000</v>
      </c>
      <c r="D29" s="34" t="n">
        <v>95000</v>
      </c>
      <c r="E29" s="34" t="n">
        <v>70000</v>
      </c>
    </row>
    <row r="30" customFormat="false" ht="15" hidden="false" customHeight="false" outlineLevel="0" collapsed="false">
      <c r="A30" s="7" t="s">
        <v>69</v>
      </c>
      <c r="B30" s="8" t="s">
        <v>68</v>
      </c>
      <c r="C30" s="34" t="n">
        <v>60000</v>
      </c>
      <c r="D30" s="34" t="n">
        <v>100000</v>
      </c>
      <c r="E30" s="34" t="n">
        <v>70000</v>
      </c>
    </row>
    <row r="31" customFormat="false" ht="15" hidden="false" customHeight="false" outlineLevel="0" collapsed="false">
      <c r="A31" s="7" t="s">
        <v>70</v>
      </c>
      <c r="B31" s="8" t="s">
        <v>71</v>
      </c>
      <c r="C31" s="34" t="n">
        <v>20000</v>
      </c>
      <c r="D31" s="34" t="n">
        <v>35000</v>
      </c>
      <c r="E31" s="34" t="n">
        <v>25000</v>
      </c>
    </row>
    <row r="32" customFormat="false" ht="15" hidden="false" customHeight="false" outlineLevel="0" collapsed="false">
      <c r="A32" s="7" t="s">
        <v>72</v>
      </c>
      <c r="B32" s="8" t="s">
        <v>73</v>
      </c>
      <c r="C32" s="34" t="n">
        <v>10000</v>
      </c>
      <c r="D32" s="34" t="n">
        <v>15000</v>
      </c>
      <c r="E32" s="34" t="n">
        <v>10000</v>
      </c>
    </row>
    <row r="33" customFormat="false" ht="15" hidden="false" customHeight="false" outlineLevel="0" collapsed="false">
      <c r="A33" s="7" t="s">
        <v>74</v>
      </c>
      <c r="C33" s="19" t="n">
        <f aca="false">SUM(C27:C32)</f>
        <v>430000</v>
      </c>
      <c r="D33" s="19" t="n">
        <f aca="false">SUM(D27:D32)</f>
        <v>375000</v>
      </c>
      <c r="E33" s="19" t="n">
        <f aca="false">SUM(E27:E32)</f>
        <v>325000</v>
      </c>
    </row>
    <row r="34" customFormat="false" ht="15" hidden="false" customHeight="false" outlineLevel="0" collapsed="false">
      <c r="A34" s="7" t="s">
        <v>76</v>
      </c>
      <c r="C34" s="9" t="n">
        <v>9</v>
      </c>
      <c r="D34" s="9" t="n">
        <v>3</v>
      </c>
      <c r="E34" s="9" t="n">
        <v>5</v>
      </c>
    </row>
    <row r="36" customFormat="false" ht="15" hidden="false" customHeight="false" outlineLevel="0" collapsed="false">
      <c r="A36" s="7" t="s">
        <v>117</v>
      </c>
    </row>
    <row r="37" customFormat="false" ht="60" hidden="false" customHeight="true" outlineLevel="0" collapsed="false">
      <c r="A37" s="35" t="s">
        <v>118</v>
      </c>
      <c r="B37" s="35"/>
      <c r="C37" s="35"/>
      <c r="D37" s="35"/>
      <c r="E37" s="35"/>
      <c r="F37" s="35"/>
      <c r="G37" s="35"/>
      <c r="H37" s="35"/>
      <c r="I37" s="35"/>
    </row>
  </sheetData>
  <mergeCells count="3">
    <mergeCell ref="D18:F18"/>
    <mergeCell ref="C22:I22"/>
    <mergeCell ref="A37:I37"/>
  </mergeCells>
  <conditionalFormatting sqref="G19:I19">
    <cfRule type="expression" priority="2" aboveAverage="0" equalAverage="0" bottom="0" percent="0" rank="0" text="" dxfId="0">
      <formula>AND(ISNUMBER(G19),G19=MAX($G$19:$I$19))</formula>
    </cfRule>
  </conditionalFormatting>
  <conditionalFormatting sqref="D18">
    <cfRule type="expression" priority="3" aboveAverage="0" equalAverage="0" bottom="0" percent="0" rank="0" text="" dxfId="1">
      <formula>$C$18&lt;&gt;100</formula>
    </cfRule>
  </conditionalFormatting>
  <dataValidations count="2">
    <dataValidation allowBlank="true" error="Enter a whole number from 1 to 5." errorStyle="stop" errorTitle="Score" operator="between" showDropDown="false" showErrorMessage="true" showInputMessage="false" sqref="D5:F16" type="whole">
      <formula1>1</formula1>
      <formula2>5</formula2>
    </dataValidation>
    <dataValidation allowBlank="true" error="Enter a weight from 0 to 100." errorStyle="stop" errorTitle="Weight" operator="between" showDropDown="false" showErrorMessage="true" showInputMessage="false" sqref="C5:C16" type="decimal">
      <formula1>0</formula1>
      <formula2>100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&amp;CProduct Advisory | productadvisory.co | Free for personal and internal business use. Not for resale.</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2026-10-17T11:08:20Z</dcterms:created>
  <dc:creator>openpyxl</dc:creator>
  <dc:description/>
  <dc:language>en-US</dc:language>
  <cp:lastModifiedBy/>
  <dcterms:modified xsi:type="dcterms:W3CDTF">2026-10-17T11:08:20Z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